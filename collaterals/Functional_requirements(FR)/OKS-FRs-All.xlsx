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3"/>
  <sheetViews>
    <sheetView workbookViewId="0"/>
  </sheetViews>
  <sheetData>
    <row r="1">
      <c r="A1" t="str">
        <v>id</v>
      </c>
      <c r="B1" t="str">
        <v>title</v>
      </c>
      <c r="C1" t="str">
        <v>feature_type</v>
      </c>
      <c r="D1" t="str">
        <v>feature_subtype</v>
      </c>
      <c r="E1" t="str">
        <v>status</v>
      </c>
      <c r="F1" t="str">
        <v>owner</v>
      </c>
      <c r="G1" t="str">
        <v>domain</v>
      </c>
      <c r="H1" t="str">
        <v>domain_affected</v>
      </c>
      <c r="I1" t="str">
        <v>tag</v>
      </c>
      <c r="J1" t="str">
        <v>tag_1</v>
      </c>
      <c r="K1" t="str">
        <v>tag_2</v>
      </c>
      <c r="L1" t="str">
        <v>val_resource</v>
      </c>
      <c r="M1" t="str">
        <v>priority</v>
      </c>
      <c r="N1" t="str">
        <v>release</v>
      </c>
      <c r="O1" t="str">
        <v>release_affected</v>
      </c>
      <c r="P1" t="str">
        <v>family</v>
      </c>
      <c r="Q1" t="str">
        <v>family_affected</v>
      </c>
      <c r="R1" t="str">
        <v>Deliverables_Required</v>
      </c>
      <c r="S1" t="str">
        <v>scope_of_impact</v>
      </c>
    </row>
    <row r="2">
      <c r="A2">
        <f>=HYPERLINK("https://hsdes.intel.com/resource/13010138286", "13010138286")</f>
      </c>
      <c r="B2" t="str">
        <v>PCIe &amp; CXL L1 Residency Counter [Sustainability]</v>
      </c>
      <c r="C2" t="str">
        <v>requirement</v>
      </c>
      <c r="D2" t="str">
        <v>func_requirement</v>
      </c>
      <c r="E2" t="str">
        <v>future</v>
      </c>
      <c r="F2" t="str">
        <v>dgcartag</v>
      </c>
      <c r="G2" t="str">
        <v>power_management</v>
      </c>
      <c r="H2" t="str">
        <v>power_management,sustainability</v>
      </c>
      <c r="I2" t="str">
        <v>TST_DMR</v>
      </c>
      <c r="J2" t="str">
        <v>PAIV.PM</v>
      </c>
      <c r="K2" t="str">
        <v/>
      </c>
      <c r="L2" t="str">
        <v/>
      </c>
      <c r="M2" t="str">
        <v>1-showstopper</v>
      </c>
      <c r="N2" t="str">
        <v>Oak Stream Platform 1 DMR</v>
      </c>
      <c r="O2" t="str">
        <v>Oak Stream Platform 1 DMR,Oak Stream Platform 2 DMR,Oak Stream Platform DMR HD</v>
      </c>
      <c r="P2" t="str">
        <v>Oak Stream DMR Platforms</v>
      </c>
      <c r="Q2" t="str">
        <v>Oak Stream DMR Platforms</v>
      </c>
      <c r="R2" t="str">
        <v>platform.cpu</v>
      </c>
      <c r="S2" t="str">
        <v/>
      </c>
    </row>
    <row r="3">
      <c r="A3">
        <f>=HYPERLINK("https://hsdes.intel.com/resource/14013727634", "14013727634")</f>
      </c>
      <c r="B3" t="str">
        <v>Intel Speed Select Support</v>
      </c>
      <c r="C3" t="str">
        <v>requirement</v>
      </c>
      <c r="D3" t="str">
        <v>func_requirement</v>
      </c>
      <c r="E3" t="str">
        <v>por</v>
      </c>
      <c r="F3" t="str">
        <v>dgcartag</v>
      </c>
      <c r="G3" t="str">
        <v>Power_management.energy_efficiency</v>
      </c>
      <c r="H3" t="str">
        <v>Power_management.energy_efficiency,sustainability</v>
      </c>
      <c r="I3" t="str">
        <v>DMRD_ReviewDone,SVL_EC_review_done_no_change,BTS_Reviewed,PMR_PM,ROW_Reviewed,PMR_Platf_Val</v>
      </c>
      <c r="J3" t="str">
        <v>PAIV.Power_Management INTEROP</v>
      </c>
      <c r="K3" t="str">
        <v>Sustainability,ROW_KVL,BTS_LVL</v>
      </c>
      <c r="L3" t="str">
        <v>Ingredient Val,Platform Val</v>
      </c>
      <c r="M3" t="str">
        <v>3-medium</v>
      </c>
      <c r="N3" t="str">
        <v>Eagle Stream SPR SP</v>
      </c>
      <c r="O3" t="str">
        <v>Birch Stream 1S RIO Platform GNR SP,Birch Stream Platform CWF AP,Birch Stream Platform GNR AP,Birch Stream Platform GNR SP,Birch Stream Platform Gem Mountain,Birch Stream Platform SRF AP,Birch Stream Platform SRF SP,DMR-RS Platform,Eagle Stream EMR SP,Eagle Stream SPR SP,Kaseyville Platform GNR D Advanced / Ultra,Oak Stream COR AP,Maple Stream COR SP LCC,Oak Stream DMR EE Platform Variant,Oak Stream Platform 1 DMR,Oak Stream Platform 2 DMR,Oak Stream Platform DMR HD,Pine Stream Platform COR AP,Summitville Palm Ridge BTS Platform,Summitville Palm Ridge Platform</v>
      </c>
      <c r="P3" t="str">
        <v>Eagle Stream Platforms</v>
      </c>
      <c r="Q3" t="str">
        <v>Birch Stream Platform,Eagle Stream Platforms,Kaseyville,DMR-RS Platform Family,Oak Stream - Diamond Rapids Edge Enhanced (EE) Platforms,Oak Stream Coral Rapids,Oak Stream DMR Platforms,Pine Stream COR Platform Family,Summitville Converged Comms Platforms</v>
      </c>
      <c r="R3" t="str">
        <v>cpu.core,platform.bios,platform.boards,platform.cpu,platform.sw.os_drivers,platform.validation</v>
      </c>
      <c r="S3" t="str">
        <v/>
      </c>
    </row>
    <row r="4">
      <c r="A4">
        <f>=HYPERLINK("https://hsdes.intel.com/resource/14013727657", "14013727657")</f>
      </c>
      <c r="B4" t="str">
        <v>Power state residency transition counts</v>
      </c>
      <c r="C4" t="str">
        <v>requirement</v>
      </c>
      <c r="D4" t="str">
        <v>func_requirement</v>
      </c>
      <c r="E4" t="str">
        <v>por</v>
      </c>
      <c r="F4" t="str">
        <v>dgcartag</v>
      </c>
      <c r="G4" t="str">
        <v>Power_management.energy_efficiency</v>
      </c>
      <c r="H4" t="str">
        <v>Power_management.energy_efficiency,sustainability</v>
      </c>
      <c r="I4" t="str">
        <v>DMRD_ReviewDone,PMR_PM,BTS_Reviewed,SVL_EC_review_done_no_change,ROW_Reviewed,PMR_Platf_Val</v>
      </c>
      <c r="J4" t="str">
        <v>PAIV.Power_Management</v>
      </c>
      <c r="K4" t="str">
        <v>Sustainability,ROW_SIMICS,BTS_SIMICS</v>
      </c>
      <c r="L4" t="str">
        <v>Ingredient Val,Platform Val</v>
      </c>
      <c r="M4" t="str">
        <v>3-medium</v>
      </c>
      <c r="N4" t="str">
        <v>Eagle Stream SPR SP</v>
      </c>
      <c r="O4" t="str">
        <v>Birch Stream 1S RIO Platform GNR SP,Birch Stream Platform CWF AP,Birch Stream Platform GNR AP,Birch Stream Platform GNR SP,Birch Stream Platform SRF AP,Birch Stream Platform SRF SP,DMR-RS Platform,Eagle Stream EMR SP,Eagle Stream SPR SP,Kaseyville Platform GNR D Advanced / Ultra,Oak Stream COR AP,Maple Stream COR SP LCC,Oak Stream DMR EE Platform Variant,Oak Stream Platform 1 DMR,Oak Stream Platform 2 DMR,Oak Stream Platform DMR HD,Pine Stream Platform COR AP,Summitville Palm Ridge BTS Platform,Summitville Palm Ridge Platform</v>
      </c>
      <c r="P4" t="str">
        <v>Eagle Stream Platforms</v>
      </c>
      <c r="Q4" t="str">
        <v>Birch Stream Platform,DMR-RS Platform Family,Eagle Stream Platforms,Kaseyville,Oak Stream - Diamond Rapids Edge Enhanced (EE) Platforms,Oak Stream Coral Rapids,Oak Stream DMR Platforms,Pine Stream COR Platform Family,Summitville Converged Comms Platforms</v>
      </c>
      <c r="R4" t="str">
        <v>platform.bios,platform.boards,platform.cpu,platform.sw.os_drivers,platform.validation</v>
      </c>
      <c r="S4" t="str">
        <v/>
      </c>
    </row>
    <row r="5">
      <c r="A5">
        <f>=HYPERLINK("https://hsdes.intel.com/resource/14014067283", "14014067283")</f>
      </c>
      <c r="B5" t="str">
        <v>SSMD Tool Support of Power Virus, near TDP, &amp; Pmax Workload as well as SoC and DIMM Power, Frequency and Thermal Telemetry</v>
      </c>
      <c r="C5" t="str">
        <v>requirement</v>
      </c>
      <c r="D5" t="str">
        <v>func_requirement</v>
      </c>
      <c r="E5" t="str">
        <v>por</v>
      </c>
      <c r="F5" t="str">
        <v>dgcartag</v>
      </c>
      <c r="G5" t="str">
        <v>Power_management.energy_efficiency</v>
      </c>
      <c r="H5" t="str">
        <v>Power_management.energy_efficiency,sustainability</v>
      </c>
      <c r="I5" t="str">
        <v>SVL_EC_review_done_no_change,BTS_Reviewed,PMR_PM,ROW_Reviewed,BVR_Reviewed</v>
      </c>
      <c r="J5" t="str">
        <v/>
      </c>
      <c r="K5" t="str">
        <v>Sustainability</v>
      </c>
      <c r="L5" t="str">
        <v>Ingredient Val</v>
      </c>
      <c r="M5" t="str">
        <v>3-medium</v>
      </c>
      <c r="N5" t="str">
        <v>Birch Stream Platform GNR AP</v>
      </c>
      <c r="O5" t="str">
        <v>Birch Stream 1S RIO Platform GNR SP,Birch Stream Platform CWF AP,Birch Stream Platform GNR AP,Birch Stream Platform GNR SP,Birch Stream Platform SRF AP,Birch Stream Platform SRF SP,DMR-RS Platform,Kaseyville Platform GNR D Advanced / Ultra,Meadowville Beaver Ridge HCC with Ethernet Platform,Nova Lake S 16C Dunlow Platform Configuration,Oak Stream COR AP,Maple Stream COR SP LCC,Oak Stream DMR EE Platform Variant,Oak Stream Platform 1 DMR,Oak Stream Platform DMR HD,Pine Stream Platform COR AP</v>
      </c>
      <c r="P5" t="str">
        <v>Birch Stream Platform</v>
      </c>
      <c r="Q5" t="str">
        <v>Birch Stream Platform,DMR-RS Platform Family,Dunlow Platform Family,Kaseyville,Meadowville Platform Family,Oak Stream - Diamond Rapids Edge Enhanced (EE) Platforms,Oak Stream Coral Rapids,Oak Stream DMR Platforms,Pine Stream COR Platform Family</v>
      </c>
      <c r="R5" t="str">
        <v>platform.validation,sw.applications</v>
      </c>
      <c r="S5" t="str">
        <v/>
      </c>
    </row>
    <row r="6">
      <c r="A6">
        <f>=HYPERLINK("https://hsdes.intel.com/resource/14015438827", "14015438827")</f>
      </c>
      <c r="B6" t="str">
        <v>Current capability of Socket_LGA</v>
      </c>
      <c r="C6" t="str">
        <v>requirement</v>
      </c>
      <c r="D6" t="str">
        <v>func_requirement</v>
      </c>
      <c r="E6" t="str">
        <v>open</v>
      </c>
      <c r="F6" t="str">
        <v>habdelma</v>
      </c>
      <c r="G6" t="str">
        <v>board.power_delivery_solution</v>
      </c>
      <c r="H6" t="str">
        <v/>
      </c>
      <c r="I6" t="str">
        <v/>
      </c>
      <c r="J6" t="str">
        <v/>
      </c>
      <c r="K6" t="str">
        <v/>
      </c>
      <c r="L6" t="str">
        <v>Ingredient Val</v>
      </c>
      <c r="M6" t="str">
        <v>2-high</v>
      </c>
      <c r="N6" t="str">
        <v>Birch Stream Platform GNR AP</v>
      </c>
      <c r="O6" t="str">
        <v>Birch Stream Platform GNR AP,Oak Stream DMR EE Platform Variant,Oak Stream Platform 1 DMR,Oak Stream Platform 2 DMR,Pine Stream Platform COR AP</v>
      </c>
      <c r="P6" t="str">
        <v>Birch Stream Platform</v>
      </c>
      <c r="Q6" t="str">
        <v>Birch Stream Platform,Oak Stream - Diamond Rapids Edge Enhanced (EE) Platforms,Oak Stream DMR Platforms,Pine Stream COR Platform Family</v>
      </c>
      <c r="R6" t="str">
        <v/>
      </c>
      <c r="S6" t="str">
        <v/>
      </c>
    </row>
    <row r="7">
      <c r="A7">
        <f>=HYPERLINK("https://hsdes.intel.com/resource/14015643745", "14015643745")</f>
      </c>
      <c r="B7" t="str">
        <v>Minimize AVX3 frequency drops during RSA operations (for example on SPECJBB).  AMB: Net  AVX3 frequency drop vs. base frequency (P0n to P0nAVX3) when running RSA operations.</v>
      </c>
      <c r="C7" t="str">
        <v>requirement</v>
      </c>
      <c r="D7" t="str">
        <v>func_requirement</v>
      </c>
      <c r="E7" t="str">
        <v>por</v>
      </c>
      <c r="F7" t="str">
        <v>dtzimme</v>
      </c>
      <c r="G7" t="str">
        <v>power_and_perf</v>
      </c>
      <c r="H7" t="str">
        <v>power_and_perf</v>
      </c>
      <c r="I7" t="str">
        <v>fw.simics_no,SVL_for_review,SVL_EC_review_done_no_change,PMR_Processor,ROW_Reviewed</v>
      </c>
      <c r="J7" t="str">
        <v>PAIV.PnP</v>
      </c>
      <c r="K7" t="str">
        <v>ROW_KVL</v>
      </c>
      <c r="L7" t="str">
        <v>Platform Val</v>
      </c>
      <c r="M7" t="str">
        <v>3-medium</v>
      </c>
      <c r="N7" t="str">
        <v>Oak Stream Platform 1 DMR</v>
      </c>
      <c r="O7" t="str">
        <v>DMR-RS Platform,Oak Stream COR AP,Maple Stream COR SP LCC,Oak Stream DMR EE Platform Variant,Oak Stream Platform 1 DMR,Oak Stream Platform 2 DMR,Oak Stream Platform DMR HD,Pine Stream Platform COR AP</v>
      </c>
      <c r="P7" t="str">
        <v>Oak Stream DMR Platforms</v>
      </c>
      <c r="Q7" t="str">
        <v>DMR-RS Platform Family,Oak Stream - Diamond Rapids Edge Enhanced (EE) Platforms,Oak Stream Coral Rapids,Oak Stream DMR Platforms,Pine Stream COR Platform Family</v>
      </c>
      <c r="R7" t="str">
        <v>cpu.core,cpu.fw.pcode,cpu.uncore,cpu.uncore.power_management,cpu.uncore.thermal_management,platform.validation</v>
      </c>
      <c r="S7" t="str">
        <v/>
      </c>
    </row>
    <row r="8">
      <c r="A8">
        <f>=HYPERLINK("https://hsdes.intel.com/resource/14015981142", "14015981142")</f>
      </c>
      <c r="B8" t="str">
        <v>PL4 Support</v>
      </c>
      <c r="C8" t="str">
        <v>requirement</v>
      </c>
      <c r="D8" t="str">
        <v>func_requirement</v>
      </c>
      <c r="E8" t="str">
        <v>por</v>
      </c>
      <c r="F8" t="str">
        <v>dgcartag</v>
      </c>
      <c r="G8" t="str">
        <v>Power_management.energy_efficiency</v>
      </c>
      <c r="H8" t="str">
        <v>Power_management.energy_efficiency,sustainability</v>
      </c>
      <c r="I8" t="str">
        <v>iVE-FV-PM,DMRD_ReviewDone,PMR_PM,BTS_Reviewed,SVL_EC_review_done_no_change,ROW_Reviewed,PMR_Platf_Val,BVR_Reviewed</v>
      </c>
      <c r="J8" t="str">
        <v/>
      </c>
      <c r="K8" t="str">
        <v>PIN_PMAX_TRIGGER_IO Sustainability,ROW_KVL,BTS_LVL</v>
      </c>
      <c r="L8" t="str">
        <v>Ingredient Val,Platform Val,Post-Silicon Val</v>
      </c>
      <c r="M8" t="str">
        <v>3-medium</v>
      </c>
      <c r="N8" t="str">
        <v>Birch Stream Platform GNR AP</v>
      </c>
      <c r="O8" t="str">
        <v>Birch Stream 1S RIO Platform GNR SP,Birch Stream Platform CWF AP,Birch Stream Platform GNR AP,Birch Stream Platform GNR SP,Birch Stream Platform SRF AP,Birch Stream Platform SRF SP,DMR-RS Platform,Kaseyville Platform GNR D Advanced / Ultra,Meadowville Beaver Ridge HCC with Ethernet Platform,Nova Lake S 16C Dunlow Platform Configuration,Oak Stream COR AP,Maple Stream COR SP LCC,Oak Stream DMR EE Platform Variant,Oak Stream Platform 1 DMR,Oak Stream Platform DMR HD,Pine Stream Platform COR AP,Summitville Palm Ridge BTS Platform,Summitville Palm Ridge Platform</v>
      </c>
      <c r="P8" t="str">
        <v>Birch Stream Platform</v>
      </c>
      <c r="Q8" t="str">
        <v>Birch Stream Platform,DMR-RS Platform Family,Dunlow Platform Family,Kaseyville,Meadowville Platform Family,Oak Stream - Diamond Rapids Edge Enhanced (EE) Platforms,Oak Stream Coral Rapids,Oak Stream DMR Platforms,Pine Stream COR Platform Family,Summitville Converged Comms Platforms</v>
      </c>
      <c r="R8" t="str">
        <v>cpu.fw.pcode,platform.bios,platform.cpu,platform.power_delivery,platform.validation</v>
      </c>
      <c r="S8" t="str">
        <v/>
      </c>
    </row>
    <row r="9">
      <c r="A9">
        <f>=HYPERLINK("https://hsdes.intel.com/resource/14017396452", "14017396452")</f>
      </c>
      <c r="B9" t="str">
        <v>Memory Bandwidth and Capacity per core</v>
      </c>
      <c r="C9" t="str">
        <v>requirement</v>
      </c>
      <c r="D9" t="str">
        <v>func_requirement</v>
      </c>
      <c r="E9" t="str">
        <v>por</v>
      </c>
      <c r="F9" t="str">
        <v>dlstuart</v>
      </c>
      <c r="G9" t="str">
        <v>power_and_perf.memory_kpi</v>
      </c>
      <c r="H9" t="str">
        <v>power_and_perf</v>
      </c>
      <c r="I9" t="str">
        <v>fw.simics_no,PAIV.PnP</v>
      </c>
      <c r="J9" t="str">
        <v>PAIV.PnP</v>
      </c>
      <c r="K9" t="str">
        <v/>
      </c>
      <c r="L9" t="str">
        <v>Platform Val</v>
      </c>
      <c r="M9" t="str">
        <v>2-high</v>
      </c>
      <c r="N9" t="str">
        <v>Oak Stream Platform 1 DMR</v>
      </c>
      <c r="O9" t="str">
        <v>Oak Stream COR AP,Maple Stream COR SP LCC,Oak Stream Platform 1 DMR,Oak Stream Platform 2 DMR,Pine Stream Platform COR AP</v>
      </c>
      <c r="P9" t="str">
        <v>Oak Stream DMR Platforms</v>
      </c>
      <c r="Q9" t="str">
        <v>Oak Stream Coral Rapids,Oak Stream DMR Platforms,Pine Stream COR Platform Family,Summitville Converged Comms Platforms</v>
      </c>
      <c r="R9" t="str">
        <v>cpu.uncore,platform.validation</v>
      </c>
      <c r="S9" t="str">
        <v>product-need</v>
      </c>
    </row>
    <row r="10">
      <c r="A10">
        <f>=HYPERLINK("https://hsdes.intel.com/resource/14017443141", "14017443141")</f>
      </c>
      <c r="B10" t="str">
        <v>CXL.mem attached DDR memory latency</v>
      </c>
      <c r="C10" t="str">
        <v>requirement</v>
      </c>
      <c r="D10" t="str">
        <v>func_requirement</v>
      </c>
      <c r="E10" t="str">
        <v>por</v>
      </c>
      <c r="F10" t="str">
        <v>dlstuart</v>
      </c>
      <c r="G10" t="str">
        <v>power_and_perf.memory_kpi</v>
      </c>
      <c r="H10" t="str">
        <v>power_and_perf</v>
      </c>
      <c r="I10" t="str">
        <v>fw.simics_no,PSXT_FRs,SVL_for_review,SVL_EC_review_done_no_change,PMR_PnP,PAIV.PnP</v>
      </c>
      <c r="J10" t="str">
        <v>PAIV.PnP</v>
      </c>
      <c r="K10" t="str">
        <v/>
      </c>
      <c r="L10" t="str">
        <v>Platform Val,Post-Silicon Val</v>
      </c>
      <c r="M10" t="str">
        <v>3-medium</v>
      </c>
      <c r="N10" t="str">
        <v>Oak Stream Platform 1 DMR</v>
      </c>
      <c r="O10" t="str">
        <v>DMR-RS Platform,Oak Stream COR AP,Oak Stream COR HD,Maple Stream COR SP LCC,Oak Stream DMR EE Platform Variant,Oak Stream Platform 1 DMR,Oak Stream Platform 2 DMR,Oak Stream Platform DMR HD,Pine Stream Platform COR AP</v>
      </c>
      <c r="P10" t="str">
        <v>Oak Stream DMR Platforms</v>
      </c>
      <c r="Q10" t="str">
        <v>DMR-RS Platform Family,Oak Stream - Diamond Rapids Edge Enhanced (EE) Platforms,Oak Stream Coral Rapids,Oak Stream DMR Platforms,Pine Stream COR Platform Family,Summitville Converged Comms Platforms</v>
      </c>
      <c r="R10" t="str">
        <v>platform.formfactor,platform.io.signal_integrity,platform.validation</v>
      </c>
      <c r="S10" t="str">
        <v>product-need</v>
      </c>
    </row>
    <row r="11">
      <c r="A11">
        <f>=HYPERLINK("https://hsdes.intel.com/resource/14017654582", "14017654582")</f>
      </c>
      <c r="B11" t="str">
        <v>VR 14 baseline with VR14.cloud extensions</v>
      </c>
      <c r="C11" t="str">
        <v>requirement</v>
      </c>
      <c r="D11" t="str">
        <v>func_requirement</v>
      </c>
      <c r="E11" t="str">
        <v>por</v>
      </c>
      <c r="F11" t="str">
        <v>pkumar1</v>
      </c>
      <c r="G11" t="str">
        <v>power_management.power_delivery</v>
      </c>
      <c r="H11" t="str">
        <v/>
      </c>
      <c r="I11" t="str">
        <v>fw.simics_yes</v>
      </c>
      <c r="J11" t="str">
        <v>PAIV.Power_Management</v>
      </c>
      <c r="K11" t="str">
        <v/>
      </c>
      <c r="L11" t="str">
        <v/>
      </c>
      <c r="M11" t="str">
        <v>2-high</v>
      </c>
      <c r="N11" t="str">
        <v>Oak Stream Platform 1 DMR</v>
      </c>
      <c r="O11" t="str">
        <v>DMR-RS Platform,Oak Stream COR AP,Maple Stream COR SP LCC,Oak Stream DMR EE Platform Variant,Oak Stream Platform 1 DMR,Oak Stream Platform 2 DMR,Oak Stream Platform DMR HD,Pine Stream Platform COR AP</v>
      </c>
      <c r="P11" t="str">
        <v>Oak Stream DMR Platforms</v>
      </c>
      <c r="Q11" t="str">
        <v>DMR-RS Platform Family,Oak Stream - Diamond Rapids Edge Enhanced (EE) Platforms,Oak Stream Coral Rapids,Oak Stream DMR Platforms,Pine Stream COR Platform Family,Summitville Converged Comms Platforms</v>
      </c>
      <c r="R11" t="str">
        <v>platform.bmc,platform.boards,platform.cpu,platform.pfr,platform.validation</v>
      </c>
      <c r="S11" t="str">
        <v/>
      </c>
    </row>
    <row r="12">
      <c r="A12">
        <f>=HYPERLINK("https://hsdes.intel.com/resource/14017654727", "14017654727")</f>
      </c>
      <c r="B12" t="str">
        <v>PMAX Detector on VCCIN_EHV rail</v>
      </c>
      <c r="C12" t="str">
        <v>requirement</v>
      </c>
      <c r="D12" t="str">
        <v>func_requirement</v>
      </c>
      <c r="E12" t="str">
        <v>por</v>
      </c>
      <c r="F12" t="str">
        <v>pkumar1</v>
      </c>
      <c r="G12" t="str">
        <v>power_management.power_delivery</v>
      </c>
      <c r="H12" t="str">
        <v/>
      </c>
      <c r="I12" t="str">
        <v>fw.simics_yes</v>
      </c>
      <c r="J12" t="str">
        <v>PAIV.Power_Management</v>
      </c>
      <c r="K12" t="str">
        <v>ClonedToBIOS</v>
      </c>
      <c r="L12" t="str">
        <v>Platform Val</v>
      </c>
      <c r="M12" t="str">
        <v>2-high</v>
      </c>
      <c r="N12" t="str">
        <v>Oak Stream Platform 1 DMR</v>
      </c>
      <c r="O12" t="str">
        <v>DMR-RS Platform,Oak Stream COR AP,Maple Stream COR SP LCC,Oak Stream DMR EE Platform Variant,Oak Stream Platform 1 DMR,Oak Stream Platform 2 DMR,Oak Stream Platform DMR HD,Pine Stream Platform COR AP</v>
      </c>
      <c r="P12" t="str">
        <v>Oak Stream DMR Platforms</v>
      </c>
      <c r="Q12" t="str">
        <v>DMR-RS Platform Family,Oak Stream - Diamond Rapids Edge Enhanced (EE) Platforms,Oak Stream Coral Rapids,Oak Stream DMR Platforms,Pine Stream COR Platform Family,Summitville Converged Comms Platforms</v>
      </c>
      <c r="R12" t="str">
        <v>platform.bios,platform.boards,platform.cpu,platform.validation</v>
      </c>
      <c r="S12" t="str">
        <v/>
      </c>
    </row>
    <row r="13">
      <c r="A13">
        <f>=HYPERLINK("https://hsdes.intel.com/resource/14017655409", "14017655409")</f>
      </c>
      <c r="B13" t="str">
        <v>VCCIN_EHV Fast Vmode Pmax Limiting</v>
      </c>
      <c r="C13" t="str">
        <v>requirement</v>
      </c>
      <c r="D13" t="str">
        <v>func_requirement</v>
      </c>
      <c r="E13" t="str">
        <v>por</v>
      </c>
      <c r="F13" t="str">
        <v>pkumar1</v>
      </c>
      <c r="G13" t="str">
        <v>power_management.power_delivery</v>
      </c>
      <c r="H13" t="str">
        <v/>
      </c>
      <c r="I13" t="str">
        <v>fw.simics_no</v>
      </c>
      <c r="J13" t="str">
        <v>PAIV.PM</v>
      </c>
      <c r="K13" t="str">
        <v/>
      </c>
      <c r="L13" t="str">
        <v/>
      </c>
      <c r="M13" t="str">
        <v>2-high</v>
      </c>
      <c r="N13" t="str">
        <v>Oak Stream Platform 1 DMR</v>
      </c>
      <c r="O13" t="str">
        <v>DMR-RS Platform,Oak Stream COR AP,Maple Stream COR SP LCC,Oak Stream DMR EE Platform Variant,Oak Stream Platform 1 DMR,Oak Stream Platform 2 DMR,Oak Stream Platform DMR HD,Pine Stream Platform COR AP</v>
      </c>
      <c r="P13" t="str">
        <v>Oak Stream DMR Platforms</v>
      </c>
      <c r="Q13" t="str">
        <v>DMR-RS Platform Family,Oak Stream - Diamond Rapids Edge Enhanced (EE) Platforms,Oak Stream Coral Rapids,Oak Stream DMR Platforms,Pine Stream COR Platform Family,Summitville Converged Comms Platforms</v>
      </c>
      <c r="R13" t="str">
        <v>platform.boards,platform.cpu,platform.validation</v>
      </c>
      <c r="S13" t="str">
        <v/>
      </c>
    </row>
    <row r="14">
      <c r="A14">
        <f>=HYPERLINK("https://hsdes.intel.com/resource/14018134078", "14018134078")</f>
      </c>
      <c r="B14" t="str">
        <v>Active Idle Feature (aka Efficient Latency Control) Support</v>
      </c>
      <c r="C14" t="str">
        <v>requirement</v>
      </c>
      <c r="D14" t="str">
        <v>func_requirement</v>
      </c>
      <c r="E14" t="str">
        <v>por</v>
      </c>
      <c r="F14" t="str">
        <v>dgcartag</v>
      </c>
      <c r="G14" t="str">
        <v>Power_management.energy_efficiency</v>
      </c>
      <c r="H14" t="str">
        <v>Power_management.energy_efficiency</v>
      </c>
      <c r="I14" t="str">
        <v>DMRD_ReviewDone</v>
      </c>
      <c r="J14" t="str">
        <v/>
      </c>
      <c r="K14" t="str">
        <v/>
      </c>
      <c r="L14" t="str">
        <v>Platform Val</v>
      </c>
      <c r="M14" t="str">
        <v>2-high</v>
      </c>
      <c r="N14" t="str">
        <v>Birch Stream Platform GNR AP</v>
      </c>
      <c r="O14" t="str">
        <v>Birch Stream 1S RIO Platform GNR SP,Birch Stream Platform CWF AP,Birch Stream Platform GNR AP,Birch Stream Platform GNR SP,Birch Stream Platform SRF AP,Birch Stream Platform SRF SP,Kaseyville Platform GNR D Advanced / Ultra,Oak Stream COR AP,Maple Stream COR SP LCC,Oak Stream DMR EE Platform Variant,Oak Stream Platform 1 DMR,Oak Stream Platform 2 DMR,Oak Stream Platform DMR HD,Pine Stream Platform COR AP</v>
      </c>
      <c r="P14" t="str">
        <v>Birch Stream Platform</v>
      </c>
      <c r="Q14" t="str">
        <v>Birch Stream Platform,Kaseyville,Oak Stream - Diamond Rapids Edge Enhanced (EE) Platforms,Oak Stream Coral Rapids,Oak Stream DMR Platforms,Pine Stream COR Platform Family,Summitville Converged Comms Platforms</v>
      </c>
      <c r="R14" t="str">
        <v>cpu.uncore.power_management,platform.bios,platform.cpu,platform.validation</v>
      </c>
      <c r="S14" t="str">
        <v/>
      </c>
    </row>
    <row r="15">
      <c r="A15">
        <f>=HYPERLINK("https://hsdes.intel.com/resource/14018606247", "14018606247")</f>
      </c>
      <c r="B15" t="str">
        <v>Platform power delivery for 2 socket system</v>
      </c>
      <c r="C15" t="str">
        <v>requirement</v>
      </c>
      <c r="D15" t="str">
        <v>func_requirement</v>
      </c>
      <c r="E15" t="str">
        <v>strawman</v>
      </c>
      <c r="F15" t="str">
        <v>asanch6</v>
      </c>
      <c r="G15" t="str">
        <v>power_management.power_delivery</v>
      </c>
      <c r="H15" t="str">
        <v/>
      </c>
      <c r="I15" t="str">
        <v/>
      </c>
      <c r="J15" t="str">
        <v/>
      </c>
      <c r="K15" t="str">
        <v/>
      </c>
      <c r="L15" t="str">
        <v/>
      </c>
      <c r="M15" t="str">
        <v>3-medium</v>
      </c>
      <c r="N15" t="str">
        <v>Oak Stream Platform 1 DMR</v>
      </c>
      <c r="O15" t="str">
        <v>Oak Stream Platform 1 DMR</v>
      </c>
      <c r="P15" t="str">
        <v>Oak Stream DMR Platforms</v>
      </c>
      <c r="Q15" t="str">
        <v>Oak Stream DMR Platforms</v>
      </c>
      <c r="R15" t="str">
        <v>platform.boards</v>
      </c>
      <c r="S15" t="str">
        <v>solution-integration</v>
      </c>
    </row>
    <row r="16">
      <c r="A16">
        <f>=HYPERLINK("https://hsdes.intel.com/resource/14019220184", "14019220184")</f>
      </c>
      <c r="B16" t="str">
        <v>FR for "Core: Tile Matrix Multiplication (TMUL) FP8/BF8 datatype"</v>
      </c>
      <c r="C16" t="str">
        <v>requirement</v>
      </c>
      <c r="D16" t="str">
        <v>func_requirement</v>
      </c>
      <c r="E16" t="str">
        <v>por</v>
      </c>
      <c r="F16" t="str">
        <v>smakine1</v>
      </c>
      <c r="G16" t="str">
        <v>power_and_perf.ai_kpi</v>
      </c>
      <c r="H16" t="str">
        <v>artificial_intelligence,power_and_perf,power_and_perf.ai_kpi</v>
      </c>
      <c r="I16" t="str">
        <v>fw.bios.security_no,fw.simics_yes</v>
      </c>
      <c r="J16" t="str">
        <v>PAIV.PnP</v>
      </c>
      <c r="K16" t="str">
        <v/>
      </c>
      <c r="L16" t="str">
        <v>Platform Val</v>
      </c>
      <c r="M16" t="str">
        <v>2-high</v>
      </c>
      <c r="N16" t="str">
        <v>Oak Stream Platform 1 DMR</v>
      </c>
      <c r="O16" t="str">
        <v>Oak Stream DMR EE Platform Variant,Oak Stream Platform 1 DMR,Oak Stream Platform DMR HD</v>
      </c>
      <c r="P16" t="str">
        <v>Oak Stream DMR Platforms</v>
      </c>
      <c r="Q16" t="str">
        <v>Oak Stream - Diamond Rapids Edge Enhanced (EE) Platforms,Oak Stream Coral Rapids,Oak Stream DMR Platforms,Pine Stream COR Platform Family</v>
      </c>
      <c r="R16" t="str">
        <v>cpu.core,cpu.uncore,platform.cpu,platform.validation</v>
      </c>
      <c r="S16" t="str">
        <v/>
      </c>
    </row>
    <row r="17">
      <c r="A17">
        <f>=HYPERLINK("https://hsdes.intel.com/resource/14020338962", "14020338962")</f>
      </c>
      <c r="B17" t="str">
        <v>FastC1E residency counter</v>
      </c>
      <c r="C17" t="str">
        <v>requirement</v>
      </c>
      <c r="D17" t="str">
        <v>func_requirement</v>
      </c>
      <c r="E17" t="str">
        <v>por</v>
      </c>
      <c r="F17" t="str">
        <v>mathiyal</v>
      </c>
      <c r="G17" t="str">
        <v>power_management</v>
      </c>
      <c r="H17" t="str">
        <v>power_and_perf,power_management,processor_core</v>
      </c>
      <c r="I17" t="str">
        <v>CRITICAL_SCOPE_0,PM,POWER_PERF,RESP,VC_IMPACT_NONE,GNR_LZ,s50.3.power,SoC.Priority=M,SoC.Motivation=Perf,SoC.Impact=Yes,s32.bios_yes,s45.bios_cloned,soc_arch,DMR1,COE4PM DRIVER_CORE pm,LNC_ASK_DONE,LNC_WG_REVIEW_DONE,PnP,pm_team,CDIE_Construction,SOC_CONSTRUCTION,CORE_PATCH_COE,SIM_YES,bios_cloned,SDL_NA,CWF_CONSTRUCTION,fw.primecode_commit,bios_no,CCB_FEATURE_INT,BMC</v>
      </c>
      <c r="J17" t="str">
        <v/>
      </c>
      <c r="K17" t="str">
        <v/>
      </c>
      <c r="L17" t="str">
        <v>Platform Val</v>
      </c>
      <c r="M17" t="str">
        <v>3-medium</v>
      </c>
      <c r="N17" t="str">
        <v>Birch Stream Platform CWF AP</v>
      </c>
      <c r="O17" t="str">
        <v>Birch Stream Platform CWF AP,DMR-RS Platform,Oak Stream COR AP,Maple Stream COR SP LCC,Oak Stream DMR EE Platform Variant,Oak Stream Platform 1 DMR,Oak Stream Platform 2 DMR,Oak Stream Platform DMR HD,Pine Stream Platform COR AP</v>
      </c>
      <c r="P17" t="str">
        <v>Birch Stream Platform</v>
      </c>
      <c r="Q17" t="str">
        <v>Birch Stream Platform,DMR-RS Platform Family,Oak Stream - Diamond Rapids Edge Enhanced (EE) Platforms,Oak Stream Coral Rapids,Oak Stream DMR Platforms,Pine Stream COR Platform Family</v>
      </c>
      <c r="R17" t="str">
        <v>cpu.fw.pcode,cpu.uncore.perfmon_telemetry,platform.sw.tools,platform.validation</v>
      </c>
      <c r="S17" t="str">
        <v/>
      </c>
    </row>
    <row r="18">
      <c r="A18">
        <f>=HYPERLINK("https://hsdes.intel.com/resource/14021881033", "14021881033")</f>
      </c>
      <c r="B18" t="str">
        <v>OKS-AP/DMR-AP VCCANA and VCCA_HV transient capability</v>
      </c>
      <c r="C18" t="str">
        <v>requirement</v>
      </c>
      <c r="D18" t="str">
        <v>func_requirement</v>
      </c>
      <c r="E18" t="str">
        <v>open</v>
      </c>
      <c r="F18" t="str">
        <v>rbazaz</v>
      </c>
      <c r="G18" t="str">
        <v>board.power_delivery_solution</v>
      </c>
      <c r="H18" t="str">
        <v/>
      </c>
      <c r="I18" t="str">
        <v/>
      </c>
      <c r="J18" t="str">
        <v/>
      </c>
      <c r="K18" t="str">
        <v/>
      </c>
      <c r="L18" t="str">
        <v/>
      </c>
      <c r="M18" t="str">
        <v>2-high</v>
      </c>
      <c r="N18" t="str">
        <v>Oak Stream Platform 1 DMR</v>
      </c>
      <c r="O18" t="str">
        <v>Oak Stream Platform 1 DMR,Pine Stream Platform COR AP</v>
      </c>
      <c r="P18" t="str">
        <v>Oak Stream DMR Platforms</v>
      </c>
      <c r="Q18" t="str">
        <v>Oak Stream DMR Platforms,Pine Stream COR Platform Family</v>
      </c>
      <c r="R18" t="str">
        <v>platform.power_delivery</v>
      </c>
      <c r="S18" t="str">
        <v/>
      </c>
    </row>
    <row r="19">
      <c r="A19">
        <f>=HYPERLINK("https://hsdes.intel.com/resource/14022590116", "14022590116")</f>
      </c>
      <c r="B19" t="str">
        <v>OKS-AP/DMR-AP VCCCDDR_HV transient Capability</v>
      </c>
      <c r="C19" t="str">
        <v>requirement</v>
      </c>
      <c r="D19" t="str">
        <v>func_requirement</v>
      </c>
      <c r="E19" t="str">
        <v>complete</v>
      </c>
      <c r="F19" t="str">
        <v>rbazaz</v>
      </c>
      <c r="G19" t="str">
        <v>board.power_delivery_solution</v>
      </c>
      <c r="H19" t="str">
        <v/>
      </c>
      <c r="I19" t="str">
        <v/>
      </c>
      <c r="J19" t="str">
        <v/>
      </c>
      <c r="K19" t="str">
        <v/>
      </c>
      <c r="L19" t="str">
        <v/>
      </c>
      <c r="M19" t="str">
        <v>2-high</v>
      </c>
      <c r="N19" t="str">
        <v>Oak Stream Platform 1 DMR</v>
      </c>
      <c r="O19" t="str">
        <v>Oak Stream COR AP,Oak Stream Platform 1 DMR,Oak Stream Platform DMR HD,Pine Stream Platform COR AP</v>
      </c>
      <c r="P19" t="str">
        <v>Oak Stream DMR Platforms</v>
      </c>
      <c r="Q19" t="str">
        <v>Oak Stream Coral Rapids,Oak Stream DMR Platforms,Pine Stream COR Platform Family</v>
      </c>
      <c r="R19" t="str">
        <v>platform.power_delivery</v>
      </c>
      <c r="S19" t="str">
        <v/>
      </c>
    </row>
    <row r="20">
      <c r="A20">
        <f>=HYPERLINK("https://hsdes.intel.com/resource/14023196461", "14023196461")</f>
      </c>
      <c r="B20" t="str">
        <v>CC6 Auto-demotion Policy</v>
      </c>
      <c r="C20" t="str">
        <v>requirement</v>
      </c>
      <c r="D20" t="str">
        <v>func_requirement</v>
      </c>
      <c r="E20" t="str">
        <v>por</v>
      </c>
      <c r="F20" t="str">
        <v>dgcartag</v>
      </c>
      <c r="G20" t="str">
        <v>Power_management.energy_efficiency</v>
      </c>
      <c r="H20" t="str">
        <v>sustainability</v>
      </c>
      <c r="I20" t="str">
        <v>fw.simics_no</v>
      </c>
      <c r="J20" t="str">
        <v/>
      </c>
      <c r="K20" t="str">
        <v/>
      </c>
      <c r="L20" t="str">
        <v>Platform Val</v>
      </c>
      <c r="M20" t="str">
        <v>2-high</v>
      </c>
      <c r="N20" t="str">
        <v>Oak Stream Platform 2 DMR</v>
      </c>
      <c r="O20" t="str">
        <v>DMR-RS Platform,Oak Stream COR AP,Maple Stream COR SP LCC,Oak Stream DMR EE Platform Variant,Oak Stream Platform 1 DMR,Oak Stream Platform 2 DMR,Oak Stream Platform DMR HD,Pine Stream Platform COR AP</v>
      </c>
      <c r="P20" t="str">
        <v>Oak Stream DMR Platforms</v>
      </c>
      <c r="Q20" t="str">
        <v>DMR-RS Platform Family,Oak Stream - Diamond Rapids Edge Enhanced (EE) Platforms,Oak Stream Coral Rapids,Oak Stream DMR Platforms,Pine Stream COR Platform Family,Summitville Converged Comms Platforms</v>
      </c>
      <c r="R20" t="str">
        <v>platform.bios,platform.cpu,platform.power_and_perf,platform.validation</v>
      </c>
      <c r="S20" t="str">
        <v/>
      </c>
    </row>
    <row r="21">
      <c r="A21">
        <f>=HYPERLINK("https://hsdes.intel.com/resource/14023660248", "14023660248")</f>
      </c>
      <c r="B21" t="str">
        <v>Running Average Current Limit (RACL) Support For Multi-VCCIN</v>
      </c>
      <c r="C21" t="str">
        <v>requirement</v>
      </c>
      <c r="D21" t="str">
        <v>func_requirement</v>
      </c>
      <c r="E21" t="str">
        <v>por</v>
      </c>
      <c r="F21" t="str">
        <v>dgcartag</v>
      </c>
      <c r="G21" t="str">
        <v>Power_management.energy_efficiency</v>
      </c>
      <c r="H21" t="str">
        <v>Power_management.energy_efficiency,sustainability</v>
      </c>
      <c r="I21" t="str">
        <v>fw.simics_yes</v>
      </c>
      <c r="J21" t="str">
        <v>PAIV.Power_Management</v>
      </c>
      <c r="K21" t="str">
        <v>Sustainability</v>
      </c>
      <c r="L21" t="str">
        <v>Platform Val</v>
      </c>
      <c r="M21" t="str">
        <v>2-high</v>
      </c>
      <c r="N21" t="str">
        <v>Oak Stream Platform 1 DMR</v>
      </c>
      <c r="O21" t="str">
        <v>DMR-RS Platform,Oak Stream COR AP,Maple Stream COR SP LCC,Oak Stream DMR EE Platform Variant,Oak Stream Platform 1 DMR,Oak Stream Platform 2 DMR,Oak Stream Platform DMR HD,Pine Stream Platform COR AP</v>
      </c>
      <c r="P21" t="str">
        <v>Oak Stream DMR Platforms</v>
      </c>
      <c r="Q21" t="str">
        <v>DMR-RS Platform Family,Oak Stream - Diamond Rapids Edge Enhanced (EE) Platforms,Oak Stream Coral Rapids,Oak Stream DMR Platforms,Pine Stream COR Platform Family,Summitville Converged Comms Platforms</v>
      </c>
      <c r="R21" t="str">
        <v>platform.boards,platform.cpu,platform.validation</v>
      </c>
      <c r="S21" t="str">
        <v/>
      </c>
    </row>
    <row r="22">
      <c r="A22">
        <f>=HYPERLINK("https://hsdes.intel.com/resource/14023871184", "14023871184")</f>
      </c>
      <c r="B22" t="str">
        <v>BIOS shall limit the mesh frequency during boot</v>
      </c>
      <c r="C22" t="str">
        <v>requirement</v>
      </c>
      <c r="D22" t="str">
        <v>func_requirement</v>
      </c>
      <c r="E22" t="str">
        <v>por</v>
      </c>
      <c r="F22" t="str">
        <v>tjkasani</v>
      </c>
      <c r="G22" t="str">
        <v>power_management</v>
      </c>
      <c r="H22" t="str">
        <v>power_management</v>
      </c>
      <c r="I22" t="str">
        <v>Boot time,PMR_Processor,BTS_Reviewed,ROW_Reviewed,PMR_No_Platf_Val</v>
      </c>
      <c r="J22" t="str">
        <v/>
      </c>
      <c r="K22" t="str">
        <v>BTS_KVL</v>
      </c>
      <c r="L22" t="str">
        <v>Platform Val</v>
      </c>
      <c r="M22" t="str">
        <v>2-high</v>
      </c>
      <c r="N22" t="str">
        <v>Oak Stream Platform 1 DMR</v>
      </c>
      <c r="O22" t="str">
        <v>DMR-RS Platform,Oak Stream COR AP,Oak Stream COR HD,Maple Stream COR SP LCC,Oak Stream DMR EE Platform Variant,Oak Stream Platform 1 DMR,Oak Stream Platform 2 DMR,Oak Stream Platform DMR HD,Pine Stream Platform COR AP,Summitville Palm Ridge BTS Platform,Summitville Palm Ridge Platform</v>
      </c>
      <c r="P22" t="str">
        <v>Oak Stream DMR Platforms</v>
      </c>
      <c r="Q22" t="str">
        <v>DMR-RS Platform Family,Oak Stream - Diamond Rapids Edge Enhanced (EE) Platforms,Oak Stream Coral Rapids,Oak Stream DMR Platforms,Pine Stream COR Platform Family,Summitville Converged Comms Platforms</v>
      </c>
      <c r="R22" t="str">
        <v>platform.bios,platform.validation</v>
      </c>
      <c r="S22" t="str">
        <v/>
      </c>
    </row>
    <row r="23">
      <c r="A23">
        <f>=HYPERLINK("https://hsdes.intel.com/resource/14025120734", "14025120734")</f>
      </c>
      <c r="B23" t="str">
        <v>[DMR-CCB] Set B2P to allow psys to be enabled using BIOS menu</v>
      </c>
      <c r="C23" t="str">
        <v>requirement</v>
      </c>
      <c r="D23" t="str">
        <v>func_requirement</v>
      </c>
      <c r="E23" t="str">
        <v>open</v>
      </c>
      <c r="F23" t="str">
        <v>srotich</v>
      </c>
      <c r="G23" t="str">
        <v>power_management</v>
      </c>
      <c r="H23" t="str">
        <v/>
      </c>
      <c r="I23" t="str">
        <v>PMR_PnP,PM,PMR_CCB</v>
      </c>
      <c r="J23" t="str">
        <v/>
      </c>
      <c r="K23" t="str">
        <v/>
      </c>
      <c r="L23" t="str">
        <v/>
      </c>
      <c r="M23" t="str">
        <v>2-high</v>
      </c>
      <c r="N23" t="str">
        <v>Oak Stream Platform 1 DMR</v>
      </c>
      <c r="O23" t="str">
        <v>Oak Stream Platform 1 DMR</v>
      </c>
      <c r="P23" t="str">
        <v>Oak Stream DMR Platforms</v>
      </c>
      <c r="Q23" t="str">
        <v>Oak Stream - Diamond Rapids Edge Enhanced (EE) Platforms,Oak Stream DMR Platforms</v>
      </c>
      <c r="R23" t="str">
        <v/>
      </c>
      <c r="S23" t="str">
        <v/>
      </c>
    </row>
    <row r="24">
      <c r="A24">
        <f>=HYPERLINK("https://hsdes.intel.com/resource/14025781779", "14025781779")</f>
      </c>
      <c r="B24" t="str">
        <v>Psys, PPL1 and PPL2 power limits power unit set to 1W</v>
      </c>
      <c r="C24" t="str">
        <v>requirement</v>
      </c>
      <c r="D24" t="str">
        <v>func_requirement</v>
      </c>
      <c r="E24" t="str">
        <v>rejected</v>
      </c>
      <c r="F24" t="str">
        <v>smakhtar</v>
      </c>
      <c r="G24" t="str">
        <v>power_management</v>
      </c>
      <c r="H24" t="str">
        <v/>
      </c>
      <c r="I24" t="str">
        <v>Tech Review</v>
      </c>
      <c r="J24" t="str">
        <v/>
      </c>
      <c r="K24" t="str">
        <v/>
      </c>
      <c r="L24" t="str">
        <v/>
      </c>
      <c r="M24" t="str">
        <v>3-medium</v>
      </c>
      <c r="N24" t="str">
        <v>Oak Stream Platform 2 DMR</v>
      </c>
      <c r="O24" t="str">
        <v>Oak Stream DMR EE Platform Variant,Oak Stream Platform 2 DMR</v>
      </c>
      <c r="P24" t="str">
        <v>Oak Stream DMR Platforms</v>
      </c>
      <c r="Q24" t="str">
        <v>Oak Stream - Diamond Rapids Edge Enhanced (EE) Platforms,Oak Stream Coral Rapids,Oak Stream DMR Platforms</v>
      </c>
      <c r="R24" t="str">
        <v/>
      </c>
      <c r="S24" t="str">
        <v/>
      </c>
    </row>
    <row r="25">
      <c r="A25">
        <f>=HYPERLINK("https://hsdes.intel.com/resource/14025815458", "14025815458")</f>
      </c>
      <c r="B25" t="str">
        <v>OKS-16 CH PDG spec change (Montecarlo)</v>
      </c>
      <c r="C25" t="str">
        <v>requirement</v>
      </c>
      <c r="D25" t="str">
        <v>func_requirement</v>
      </c>
      <c r="E25" t="str">
        <v>open</v>
      </c>
      <c r="F25" t="str">
        <v>rbazaz</v>
      </c>
      <c r="G25" t="str">
        <v>board.power_delivery_solution</v>
      </c>
      <c r="H25" t="str">
        <v/>
      </c>
      <c r="I25" t="str">
        <v/>
      </c>
      <c r="J25" t="str">
        <v/>
      </c>
      <c r="K25" t="str">
        <v/>
      </c>
      <c r="L25" t="str">
        <v/>
      </c>
      <c r="M25" t="str">
        <v>2-high</v>
      </c>
      <c r="N25" t="str">
        <v>Oak Stream Platform 1 DMR</v>
      </c>
      <c r="O25" t="str">
        <v>Oak Stream Platform 1 DMR,Pine Stream Platform COR AP</v>
      </c>
      <c r="P25" t="str">
        <v>Oak Stream DMR Platforms</v>
      </c>
      <c r="Q25" t="str">
        <v>Oak Stream DMR Platforms,Pine Stream COR Platform Family</v>
      </c>
      <c r="R25" t="str">
        <v>platform.power_delivery</v>
      </c>
      <c r="S25" t="str">
        <v/>
      </c>
    </row>
    <row r="26">
      <c r="A26">
        <f>=HYPERLINK("https://hsdes.intel.com/resource/14026035656", "14026035656")</f>
      </c>
      <c r="B26" t="str">
        <v>[DMR-CCB] BIOS knob to send B2P packet for the MRC flow</v>
      </c>
      <c r="C26" t="str">
        <v>requirement</v>
      </c>
      <c r="D26" t="str">
        <v>func_requirement</v>
      </c>
      <c r="E26" t="str">
        <v>open</v>
      </c>
      <c r="F26" t="str">
        <v>smuthusa</v>
      </c>
      <c r="G26" t="str">
        <v>power_management</v>
      </c>
      <c r="H26" t="str">
        <v/>
      </c>
      <c r="I26" t="str">
        <v>COE4PM,PM_PKGC,dmr_bios_ccb_required</v>
      </c>
      <c r="J26" t="str">
        <v/>
      </c>
      <c r="K26" t="str">
        <v/>
      </c>
      <c r="L26" t="str">
        <v/>
      </c>
      <c r="M26" t="str">
        <v>2-high</v>
      </c>
      <c r="N26" t="str">
        <v>Oak Stream Platform 1 DMR</v>
      </c>
      <c r="O26" t="str">
        <v>Oak Stream Platform 1 DMR</v>
      </c>
      <c r="P26" t="str">
        <v>Oak Stream DMR Platforms</v>
      </c>
      <c r="Q26" t="str">
        <v>Oak Stream - Diamond Rapids Edge Enhanced (EE) Platforms,Oak Stream DMR Platforms</v>
      </c>
      <c r="R26" t="str">
        <v/>
      </c>
      <c r="S26" t="str">
        <v/>
      </c>
    </row>
    <row r="27">
      <c r="A27">
        <f>=HYPERLINK("https://hsdes.intel.com/resource/22014968544", "22014968544")</f>
      </c>
      <c r="B27" t="str">
        <v>Platform Turbo [SUSTAINABILITY]</v>
      </c>
      <c r="C27" t="str">
        <v>requirement</v>
      </c>
      <c r="D27" t="str">
        <v>func_requirement</v>
      </c>
      <c r="E27" t="str">
        <v>future</v>
      </c>
      <c r="F27" t="str">
        <v>dgcartag</v>
      </c>
      <c r="G27" t="str">
        <v>Power_management.energy_efficiency</v>
      </c>
      <c r="H27" t="str">
        <v>Power_management.energy_efficiency,sustainability</v>
      </c>
      <c r="I27" t="str">
        <v>DMR_AF_SUSTAINABILITY</v>
      </c>
      <c r="J27" t="str">
        <v>PAIV.Power_Management</v>
      </c>
      <c r="K27" t="str">
        <v/>
      </c>
      <c r="L27" t="str">
        <v/>
      </c>
      <c r="M27" t="str">
        <v>3-medium</v>
      </c>
      <c r="N27" t="str">
        <v>Oak Stream Platform 1 DMR</v>
      </c>
      <c r="O27" t="str">
        <v>Oak Stream Platform 1 DMR,Oak Stream Platform 2 DMR</v>
      </c>
      <c r="P27" t="str">
        <v>Oak Stream DMR Platforms</v>
      </c>
      <c r="Q27" t="str">
        <v>Summitville Converged Comms Platforms,Oak Stream DMR Platforms</v>
      </c>
      <c r="R27" t="str">
        <v/>
      </c>
      <c r="S27" t="str">
        <v/>
      </c>
    </row>
    <row r="28">
      <c r="A28">
        <f>=HYPERLINK("https://hsdes.intel.com/resource/22018810962", "22018810962")</f>
      </c>
      <c r="B28" t="str">
        <v>IO throttling feature</v>
      </c>
      <c r="C28" t="str">
        <v>requirement</v>
      </c>
      <c r="D28" t="str">
        <v>func_requirement</v>
      </c>
      <c r="E28" t="str">
        <v>por</v>
      </c>
      <c r="F28" t="str">
        <v>alvarezp</v>
      </c>
      <c r="G28" t="str">
        <v>power_management</v>
      </c>
      <c r="H28" t="str">
        <v>power_and_perf,power_management,sustainability</v>
      </c>
      <c r="I28" t="str">
        <v>PMR_TM,ROW_Reviewed,BTS_Reviewed,PMR_Platf_Val</v>
      </c>
      <c r="J28" t="str">
        <v/>
      </c>
      <c r="K28" t="str">
        <v>ROW_DMR,BTS_DMR</v>
      </c>
      <c r="L28" t="str">
        <v>Platform Val</v>
      </c>
      <c r="M28" t="str">
        <v>2-high</v>
      </c>
      <c r="N28" t="str">
        <v>Oak Stream Platform 1 DMR</v>
      </c>
      <c r="O28" t="str">
        <v>Oak Stream COR AP,Maple Stream COR SP LCC,Oak Stream DMR EE Platform Variant,Oak Stream Platform 1 DMR,Pine Stream Platform COR AP,Summitville Palm Ridge BTS Platform,Summitville Palm Ridge Platform</v>
      </c>
      <c r="P28" t="str">
        <v>Oak Stream DMR Platforms</v>
      </c>
      <c r="Q28" t="str">
        <v>Oak Stream - Diamond Rapids Edge Enhanced (EE) Platforms,Oak Stream Coral Rapids,Oak Stream DMR Platforms,Pine Stream COR Platform Family,Summitville Converged Comms Platforms</v>
      </c>
      <c r="R28" t="str">
        <v>cpu.uncore.power_management,cpu.uncore.thermal_management,platform.power_and_perf,platform.sw.prime_code,platform.validation</v>
      </c>
      <c r="S28" t="str">
        <v/>
      </c>
    </row>
    <row r="29">
      <c r="A29">
        <f>=HYPERLINK("https://hsdes.intel.com/resource/22020335857", "22020335857")</f>
      </c>
      <c r="B29" t="str">
        <v>OKS Support for VCCDDR 3-Phase VRs for 16-channel and 12-Channel Configurations</v>
      </c>
      <c r="C29" t="str">
        <v>requirement</v>
      </c>
      <c r="D29" t="str">
        <v>func_requirement</v>
      </c>
      <c r="E29" t="str">
        <v>por</v>
      </c>
      <c r="F29" t="str">
        <v>jaorozc1</v>
      </c>
      <c r="G29" t="str">
        <v>board.power_delivery_solution</v>
      </c>
      <c r="H29" t="str">
        <v/>
      </c>
      <c r="I29" t="str">
        <v>OKS_CAT_5,SIMICS_NO,fw.simics_no</v>
      </c>
      <c r="J29" t="str">
        <v/>
      </c>
      <c r="K29" t="str">
        <v/>
      </c>
      <c r="L29" t="str">
        <v/>
      </c>
      <c r="M29" t="str">
        <v>2-high</v>
      </c>
      <c r="N29" t="str">
        <v>Oak Stream Platform 1 DMR</v>
      </c>
      <c r="O29" t="str">
        <v>Oak Stream COR AP,Oak Stream Platform 1 DMR,Oak Stream Platform DMR HD,Pine Stream Platform COR AP</v>
      </c>
      <c r="P29" t="str">
        <v>Oak Stream DMR Platforms</v>
      </c>
      <c r="Q29" t="str">
        <v>Oak Stream Coral Rapids,Oak Stream DMR Platforms,Pine Stream COR Platform Family,Summitville Converged Comms Platforms</v>
      </c>
      <c r="R29" t="str">
        <v>cpu.fw.pcode,platform.boards,platform.power_delivery,platform.validation</v>
      </c>
      <c r="S29" t="str">
        <v/>
      </c>
    </row>
    <row r="30">
      <c r="A30">
        <f>=HYPERLINK("https://hsdes.intel.com/resource/22021435640", "22021435640")</f>
      </c>
      <c r="B30" t="str">
        <v>Higher turbo frequency when some cores are lightly utilized</v>
      </c>
      <c r="C30" t="str">
        <v>requirement</v>
      </c>
      <c r="D30" t="str">
        <v>func_requirement</v>
      </c>
      <c r="E30" t="str">
        <v>por</v>
      </c>
      <c r="F30" t="str">
        <v>dgcartag</v>
      </c>
      <c r="G30" t="str">
        <v>power_and_perf</v>
      </c>
      <c r="H30" t="str">
        <v/>
      </c>
      <c r="I30" t="str">
        <v/>
      </c>
      <c r="J30" t="str">
        <v/>
      </c>
      <c r="K30" t="str">
        <v/>
      </c>
      <c r="L30" t="str">
        <v/>
      </c>
      <c r="M30" t="str">
        <v>2-high</v>
      </c>
      <c r="N30" t="str">
        <v>Birch Stream Platform GNR AP</v>
      </c>
      <c r="O30" t="str">
        <v>Birch Stream Platform CWF AP,Birch Stream Platform GNR AP,Birch Stream Platform GNR SP,Birch Stream Platform GNR SP 4S,Birch Stream Platform GNR SP 8S,DMR-RS Platform,Oak Stream DMR EE Platform Variant,Oak Stream Platform 1 DMR,Oak Stream Platform DMR HD</v>
      </c>
      <c r="P30" t="str">
        <v>Birch Stream Platform</v>
      </c>
      <c r="Q30" t="str">
        <v>Birch Stream Platform,DMR-RS Platform Family,Oak Stream - Diamond Rapids Edge Enhanced (EE) Platforms,Oak Stream Coral Rapids,Oak Stream DMR Platforms</v>
      </c>
      <c r="R30" t="str">
        <v>cpu.core,cpu.uncore.power_management,platform.bios</v>
      </c>
      <c r="S30" t="str">
        <v/>
      </c>
    </row>
    <row r="31">
      <c r="A31">
        <f>=HYPERLINK("https://hsdes.intel.com/resource/22021480095", "22021480095")</f>
      </c>
      <c r="B31" t="str">
        <v>Performance Isolation Mode for DMR</v>
      </c>
      <c r="C31" t="str">
        <v>requirement</v>
      </c>
      <c r="D31" t="str">
        <v>func_requirement</v>
      </c>
      <c r="E31" t="str">
        <v>rejected</v>
      </c>
      <c r="F31" t="str">
        <v>akenaman</v>
      </c>
      <c r="G31" t="str">
        <v>power_and_perf</v>
      </c>
      <c r="H31" t="str">
        <v/>
      </c>
      <c r="I31" t="str">
        <v>Customer Request,CSP,EC2_HIGH_PRIORITY,OKS_CAT_1</v>
      </c>
      <c r="J31" t="str">
        <v/>
      </c>
      <c r="K31" t="str">
        <v/>
      </c>
      <c r="L31" t="str">
        <v/>
      </c>
      <c r="M31" t="str">
        <v>1-showstopper</v>
      </c>
      <c r="N31" t="str">
        <v>Oak Stream Platform 1 DMR</v>
      </c>
      <c r="O31" t="str">
        <v>Oak Stream COR AP,Oak Stream Platform 1 DMR,Oak Stream Platform DMR HD</v>
      </c>
      <c r="P31" t="str">
        <v>Oak Stream DMR Platforms</v>
      </c>
      <c r="Q31" t="str">
        <v>Oak Stream Coral Rapids,Oak Stream DMR Platforms</v>
      </c>
      <c r="R31" t="str">
        <v>cpu.fw.ucode.mcheck,cpu.uncore.cxl,cpu.uncore.memory,platform.bios,platform.cpu</v>
      </c>
      <c r="S31" t="str">
        <v/>
      </c>
    </row>
    <row r="32">
      <c r="A32">
        <f>=HYPERLINK("https://hsdes.intel.com/resource/22021533379", "22021533379")</f>
      </c>
      <c r="B32" t="str">
        <v>OKS-16 CH PDG spec change (VCCINF, VCCVNN)</v>
      </c>
      <c r="C32" t="str">
        <v>requirement</v>
      </c>
      <c r="D32" t="str">
        <v>func_requirement</v>
      </c>
      <c r="E32" t="str">
        <v>open</v>
      </c>
      <c r="F32" t="str">
        <v>rbazaz</v>
      </c>
      <c r="G32" t="str">
        <v>board.power_delivery_solution</v>
      </c>
      <c r="H32" t="str">
        <v/>
      </c>
      <c r="I32" t="str">
        <v/>
      </c>
      <c r="J32" t="str">
        <v/>
      </c>
      <c r="K32" t="str">
        <v/>
      </c>
      <c r="L32" t="str">
        <v/>
      </c>
      <c r="M32" t="str">
        <v>2-high</v>
      </c>
      <c r="N32" t="str">
        <v>Oak Stream Platform 1 DMR</v>
      </c>
      <c r="O32" t="str">
        <v>Oak Stream Platform 1 DMR,Pine Stream Platform COR AP</v>
      </c>
      <c r="P32" t="str">
        <v>Oak Stream DMR Platforms</v>
      </c>
      <c r="Q32" t="str">
        <v>Oak Stream DMR Platforms,Pine Stream COR Platform Family</v>
      </c>
      <c r="R32" t="str">
        <v>platform.power_delivery</v>
      </c>
      <c r="S32" t="str">
        <v/>
      </c>
    </row>
    <row r="33">
      <c r="A33">
        <f>=HYPERLINK("https://hsdes.intel.com/resource/22022115491", "22022115491")</f>
      </c>
      <c r="B33" t="str">
        <v>Functional Requirements: IPC Throttling Control to Limit DMR Raw Perf</v>
      </c>
      <c r="C33" t="str">
        <v>requirement</v>
      </c>
      <c r="D33" t="str">
        <v>func_requirement</v>
      </c>
      <c r="E33" t="str">
        <v>por-1</v>
      </c>
      <c r="F33" t="str">
        <v>schen6</v>
      </c>
      <c r="G33" t="str">
        <v>power_and_perf</v>
      </c>
      <c r="H33" t="str">
        <v/>
      </c>
      <c r="I33" t="str">
        <v/>
      </c>
      <c r="J33" t="str">
        <v/>
      </c>
      <c r="K33" t="str">
        <v/>
      </c>
      <c r="L33" t="str">
        <v/>
      </c>
      <c r="M33" t="str">
        <v>2-high</v>
      </c>
      <c r="N33" t="str">
        <v>Oak Stream DMR 16Ch R/M</v>
      </c>
      <c r="O33" t="str">
        <v>Oak Stream DMR 16Ch R/M,Oak Stream Platform 1 DMR</v>
      </c>
      <c r="P33" t="str">
        <v>Oak Stream DMR Platforms</v>
      </c>
      <c r="Q33" t="str">
        <v>Oak Stream DMR Platforms</v>
      </c>
      <c r="R33" t="str">
        <v>[request_new]</v>
      </c>
      <c r="S33" t="str">
        <v/>
      </c>
    </row>
  </sheetData>
  <ignoredErrors>
    <ignoredError numberStoredAsText="1" sqref="A1:S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